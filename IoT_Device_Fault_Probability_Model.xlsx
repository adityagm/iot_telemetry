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Fleet KPIs" sheetId="1" state="visible" r:id="rId1"/>
    <sheet xmlns:r="http://schemas.openxmlformats.org/officeDocument/2006/relationships" name="Sensor Hazard Analysis" sheetId="2" state="visible" r:id="rId2"/>
    <sheet xmlns:r="http://schemas.openxmlformats.org/officeDocument/2006/relationships" name="Next-Day Device Model" sheetId="3" state="visible" r:id="rId3"/>
    <sheet xmlns:r="http://schemas.openxmlformats.org/officeDocument/2006/relationships" name="Formulas &amp; Docu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color rgb="00000080"/>
      <sz val="11"/>
    </font>
    <font>
      <name val="Consolas"/>
      <color rgb="00555555"/>
      <sz val="10"/>
    </font>
    <font>
      <name val="Calibri"/>
      <b val="1"/>
      <color rgb="001B365D"/>
      <sz val="11"/>
    </font>
    <font>
      <name val="Calibri"/>
      <b val="1"/>
      <sz val="10"/>
    </font>
    <font>
      <name val="Consolas"/>
      <color rgb="00555555"/>
      <sz val="9"/>
    </font>
    <font>
      <name val="Calibri"/>
      <b val="1"/>
      <sz val="11"/>
    </font>
    <font>
      <name val="Calibri"/>
      <i val="1"/>
      <sz val="9"/>
    </font>
    <font>
      <name val="Calibri"/>
      <b val="1"/>
      <color rgb="00A51D24"/>
      <sz val="11"/>
    </font>
    <font>
      <name val="Calibri"/>
      <b val="1"/>
      <color rgb="00137333"/>
      <sz val="11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DE7"/>
        <bgColor rgb="00FFFDE7"/>
      </patternFill>
    </fill>
    <fill>
      <patternFill patternType="solid">
        <fgColor rgb="00E8F1F5"/>
        <bgColor rgb="00E8F1F5"/>
      </patternFill>
    </fill>
    <fill>
      <patternFill patternType="solid">
        <fgColor rgb="00335C67"/>
        <bgColor rgb="00335C67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0" fontId="7" fillId="3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3" fontId="0" fillId="3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10" fillId="0" borderId="2" pivotButton="0" quotePrefix="0" xfId="0"/>
    <xf numFmtId="3" fontId="10" fillId="0" borderId="2" applyAlignment="1" pivotButton="0" quotePrefix="0" xfId="0">
      <alignment horizontal="right" vertical="center"/>
    </xf>
    <xf numFmtId="10" fontId="10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2" fontId="10" fillId="0" borderId="2" applyAlignment="1" pivotButton="0" quotePrefix="0" xfId="0">
      <alignment horizontal="right" vertical="center"/>
    </xf>
    <xf numFmtId="0" fontId="11" fillId="0" borderId="2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0" fontId="10" fillId="3" borderId="1" applyAlignment="1" pivotButton="0" quotePrefix="0" xfId="0">
      <alignment horizontal="right" vertical="center"/>
    </xf>
    <xf numFmtId="2" fontId="10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0" fontId="12" fillId="6" borderId="1" applyAlignment="1" pivotButton="0" quotePrefix="0" xfId="0">
      <alignment horizontal="right" vertical="center"/>
    </xf>
    <xf numFmtId="10" fontId="13" fillId="7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Telemetry Fault Events vs Unique Devices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'Sensor Hazard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'Sensor Hazard Analysis'!$A$5:$A$10</f>
            </numRef>
          </cat>
          <val>
            <numRef>
              <f>'Sensor Hazard Analysis'!$B$5:$B$10</f>
            </numRef>
          </val>
        </ser>
        <ser>
          <idx val="1"/>
          <order val="1"/>
          <tx>
            <strRef>
              <f>'Sensor Hazard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'Sensor Hazard Analysis'!$A$5:$A$10</f>
            </numRef>
          </cat>
          <val>
            <numRef>
              <f>'Sensor Hazard Analysis'!$C$5:$C$10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2" customWidth="1" min="3" max="3"/>
    <col width="48" customWidth="1" min="4" max="4"/>
    <col width="48" customWidth="1" min="5" max="5"/>
  </cols>
  <sheetData>
    <row r="1">
      <c r="A1" s="1" t="inlineStr">
        <is>
          <t>IoT Fleet Reliability &amp; Telemetry Fault Analysis Engine</t>
        </is>
      </c>
    </row>
    <row r="2">
      <c r="A2" s="2" t="inlineStr">
        <is>
          <t>Supply Chain Management: Dry Assets &amp; Maritime Shipping Containers Telemetry Modeling</t>
        </is>
      </c>
    </row>
    <row r="3"/>
    <row r="4">
      <c r="A4" s="3" t="inlineStr">
        <is>
          <t>1. Global Fleet Inputs (Editable Parameters)</t>
        </is>
      </c>
    </row>
    <row r="5">
      <c r="A5" s="4" t="inlineStr">
        <is>
          <t>Metric / Parameter Name</t>
        </is>
      </c>
      <c r="B5" s="5" t="inlineStr">
        <is>
          <t>Value</t>
        </is>
      </c>
      <c r="C5" s="5" t="inlineStr">
        <is>
          <t>Unit</t>
        </is>
      </c>
      <c r="D5" s="4" t="inlineStr">
        <is>
          <t>Notes &amp; Operational Assumptions</t>
        </is>
      </c>
    </row>
    <row r="6">
      <c r="A6" s="6" t="inlineStr">
        <is>
          <t>Total Installed IoT Fleet Size</t>
        </is>
      </c>
      <c r="B6" s="7" t="n">
        <v>250000</v>
      </c>
      <c r="C6" s="8" t="inlineStr">
        <is>
          <t>Devices</t>
        </is>
      </c>
      <c r="D6" s="6" t="inlineStr">
        <is>
          <t>Total dry asset &amp; container tracking devices deployed</t>
        </is>
      </c>
    </row>
    <row r="7">
      <c r="A7" s="6" t="inlineStr">
        <is>
          <t>Average Daily Active Devices</t>
        </is>
      </c>
      <c r="B7" s="7" t="n">
        <v>220000</v>
      </c>
      <c r="C7" s="8" t="inlineStr">
        <is>
          <t>Devices/Day</t>
        </is>
      </c>
      <c r="D7" s="6" t="inlineStr">
        <is>
          <t>Active reporting devices (solar powered duty cycle)</t>
        </is>
      </c>
    </row>
    <row r="8">
      <c r="A8" s="6" t="inlineStr">
        <is>
          <t>Total Telemetry Rows Received / Day</t>
        </is>
      </c>
      <c r="B8" s="7" t="n">
        <v>1000000</v>
      </c>
      <c r="C8" s="8" t="inlineStr">
        <is>
          <t>Rows/Day</t>
        </is>
      </c>
      <c r="D8" s="6" t="inlineStr">
        <is>
          <t>Pings written across battery, sensors, GPS, RSSI</t>
        </is>
      </c>
    </row>
    <row r="9">
      <c r="A9" s="6" t="inlineStr">
        <is>
          <t>Total Detected Fault Rows / Day</t>
        </is>
      </c>
      <c r="B9" s="7" t="n">
        <v>10000</v>
      </c>
      <c r="C9" s="8" t="inlineStr">
        <is>
          <t>Events/Day</t>
        </is>
      </c>
      <c r="D9" s="6" t="inlineStr">
        <is>
          <t>Telemetry events flagged by predefined fault thresholds</t>
        </is>
      </c>
    </row>
    <row r="10">
      <c r="A10" s="6" t="inlineStr">
        <is>
          <t>Net Unique Faulted Devices / Day</t>
        </is>
      </c>
      <c r="B10" s="7" t="n">
        <v>2600</v>
      </c>
      <c r="C10" s="8" t="inlineStr">
        <is>
          <t>Devices/Day</t>
        </is>
      </c>
      <c r="D10" s="6" t="inlineStr">
        <is>
          <t>Deduplicated active devices generating &gt;=1 fault row</t>
        </is>
      </c>
    </row>
    <row r="11">
      <c r="A11" s="6" t="inlineStr">
        <is>
          <t>Persistent Faulted Devices (&gt;=3 faults)</t>
        </is>
      </c>
      <c r="B11" s="7" t="n">
        <v>800</v>
      </c>
      <c r="C11" s="8" t="inlineStr">
        <is>
          <t>Devices/Day</t>
        </is>
      </c>
      <c r="D11" s="6" t="inlineStr">
        <is>
          <t>Devices with recurring sequential faults</t>
        </is>
      </c>
    </row>
    <row r="12">
      <c r="A12" s="6" t="inlineStr">
        <is>
          <t>Transient Faulted Devices (1-2 faults)</t>
        </is>
      </c>
      <c r="B12" s="7" t="n">
        <v>1800</v>
      </c>
      <c r="C12" s="8" t="inlineStr">
        <is>
          <t>Devices/Day</t>
        </is>
      </c>
      <c r="D12" s="6" t="inlineStr">
        <is>
          <t>Devices with isolated transient signal blips</t>
        </is>
      </c>
    </row>
    <row r="13">
      <c r="A13" s="6" t="inlineStr">
        <is>
          <t>Alert Suppression Persistence Threshold (k)</t>
        </is>
      </c>
      <c r="B13" s="7" t="n">
        <v>3</v>
      </c>
      <c r="C13" s="8" t="inlineStr">
        <is>
          <t>Pings</t>
        </is>
      </c>
      <c r="D13" s="6" t="inlineStr">
        <is>
          <t>Minimum repeating faults required for true alarm</t>
        </is>
      </c>
    </row>
    <row r="14">
      <c r="A14" s="6" t="inlineStr">
        <is>
          <t>Beta-Binomial Prior Weight (M)</t>
        </is>
      </c>
      <c r="B14" s="7" t="n">
        <v>100</v>
      </c>
      <c r="C14" s="8" t="inlineStr">
        <is>
          <t>Observations</t>
        </is>
      </c>
      <c r="D14" s="6" t="inlineStr">
        <is>
          <t>Pseudo-observations for Bayesian shrinkage</t>
        </is>
      </c>
    </row>
    <row r="15"/>
    <row r="16"/>
    <row r="17">
      <c r="A17" s="3" t="inlineStr">
        <is>
          <t>2. Core Fleet Probability &amp; Performance Metrics</t>
        </is>
      </c>
    </row>
    <row r="18">
      <c r="A18" s="4" t="inlineStr">
        <is>
          <t>Calculated Metric</t>
        </is>
      </c>
      <c r="B18" s="5" t="inlineStr">
        <is>
          <t>Formula / Cell Ref</t>
        </is>
      </c>
      <c r="C18" s="5" t="inlineStr">
        <is>
          <t>Computed Value</t>
        </is>
      </c>
      <c r="D18" s="4" t="inlineStr">
        <is>
          <t>Benchmark / Interpretation</t>
        </is>
      </c>
    </row>
    <row r="19">
      <c r="A19" s="6" t="inlineStr">
        <is>
          <t>Active Fleet Daily Failure Probability P(Device Fault | Active)</t>
        </is>
      </c>
      <c r="B19" s="9">
        <f>B10/B6</f>
        <v/>
      </c>
      <c r="C19" s="10" t="n"/>
      <c r="D19" s="6" t="inlineStr">
        <is>
          <t>Likelihood an active device faults today</t>
        </is>
      </c>
    </row>
    <row r="20">
      <c r="A20" s="6" t="inlineStr">
        <is>
          <t>Total Fleet Daily Failure Probability P(Device Fault | Fleet)</t>
        </is>
      </c>
      <c r="B20" s="9">
        <f>B10/B5</f>
        <v/>
      </c>
      <c r="C20" s="10" t="n"/>
      <c r="D20" s="6" t="inlineStr">
        <is>
          <t>Total fleet replacement / maintenance impact</t>
        </is>
      </c>
    </row>
    <row r="21">
      <c r="A21" s="6" t="inlineStr">
        <is>
          <t>Telemetry Event Fault Probability P(Fault | Transmission)</t>
        </is>
      </c>
      <c r="B21" s="9">
        <f>B8/B7</f>
        <v/>
      </c>
      <c r="C21" s="10" t="n"/>
      <c r="D21" s="6" t="inlineStr">
        <is>
          <t>Probability that any incoming telemetry packet is a fault</t>
        </is>
      </c>
    </row>
    <row r="22">
      <c r="A22" s="6" t="inlineStr">
        <is>
          <t>Fleet Availability / Reporting Rate</t>
        </is>
      </c>
      <c r="B22" s="9">
        <f>B6/B5</f>
        <v/>
      </c>
      <c r="C22" s="10" t="n"/>
      <c r="D22" s="6" t="inlineStr">
        <is>
          <t>Percentage of fleet communicating on given day</t>
        </is>
      </c>
    </row>
    <row r="23">
      <c r="A23" s="6" t="inlineStr">
        <is>
          <t>Average Reporting Frequency (Pings / Device / Day)</t>
        </is>
      </c>
      <c r="B23" s="9">
        <f>B7/B6</f>
        <v/>
      </c>
      <c r="C23" s="11" t="n"/>
      <c r="D23" s="6" t="inlineStr">
        <is>
          <t>Telemetry density per active tracking unit</t>
        </is>
      </c>
    </row>
    <row r="24">
      <c r="A24" s="6" t="inlineStr">
        <is>
          <t>Fault Clustering Ratio (Fault Rows / Faulted Device)</t>
        </is>
      </c>
      <c r="B24" s="9">
        <f>B8/B10</f>
        <v/>
      </c>
      <c r="C24" s="11" t="n"/>
      <c r="D24" s="6" t="inlineStr">
        <is>
          <t>Average fault repetitions per faulted device</t>
        </is>
      </c>
    </row>
    <row r="25">
      <c r="A25" s="6" t="inlineStr">
        <is>
          <t>Persistent Fault Concentration Share</t>
        </is>
      </c>
      <c r="B25" s="9">
        <f>(B11*8)/B8</f>
        <v/>
      </c>
      <c r="C25" s="10" t="n"/>
      <c r="D25" s="6" t="inlineStr">
        <is>
          <t>Share of all fault rows produced by persistent devices</t>
        </is>
      </c>
    </row>
    <row r="26">
      <c r="A26" s="6" t="inlineStr">
        <is>
          <t>Empirical Bayes Fleet Prior Alpha (α)</t>
        </is>
      </c>
      <c r="B26" s="9">
        <f>B14*(B10/B6)</f>
        <v/>
      </c>
      <c r="C26" s="12" t="n"/>
      <c r="D26" s="6" t="inlineStr">
        <is>
          <t>Bayesian prior parameter for fault days</t>
        </is>
      </c>
    </row>
    <row r="27">
      <c r="A27" s="6" t="inlineStr">
        <is>
          <t>Empirical Bayes Fleet Prior Beta (β)</t>
        </is>
      </c>
      <c r="B27" s="9">
        <f>B14*(1-(B10/B6))</f>
        <v/>
      </c>
      <c r="C27" s="12" t="n"/>
      <c r="D27" s="6" t="inlineStr">
        <is>
          <t>Bayesian prior parameter for healthy days</t>
        </is>
      </c>
    </row>
    <row r="28"/>
    <row r="29">
      <c r="A29" s="3" t="inlineStr">
        <is>
          <t>3. Fleet Markov Transition Probabilities (Day t to Day t+1)</t>
        </is>
      </c>
    </row>
    <row r="30"/>
    <row r="31">
      <c r="A31" s="4" t="inlineStr">
        <is>
          <t>State on Day t</t>
        </is>
      </c>
      <c r="B31" s="4" t="inlineStr">
        <is>
          <t>State on Day t+1</t>
        </is>
      </c>
      <c r="C31" s="5" t="inlineStr">
        <is>
          <t>Transition Formula / Logic</t>
        </is>
      </c>
      <c r="D31" s="5" t="inlineStr">
        <is>
          <t>Transition Probability</t>
        </is>
      </c>
      <c r="E31" s="4" t="inlineStr">
        <is>
          <t>Operational Meaning</t>
        </is>
      </c>
    </row>
    <row r="32">
      <c r="A32" s="13" t="inlineStr">
        <is>
          <t>Faulted (F_t)</t>
        </is>
      </c>
      <c r="B32" s="13" t="inlineStr">
        <is>
          <t>Faulted (F_t+1)</t>
        </is>
      </c>
      <c r="C32" s="14" t="inlineStr">
        <is>
          <t>Empirical Persistence (Assumed / Measured)</t>
        </is>
      </c>
      <c r="D32" s="15" t="n">
        <v>0.35</v>
      </c>
      <c r="E32" s="6" t="inlineStr">
        <is>
          <t>Persistence: Device remains faulted next day</t>
        </is>
      </c>
    </row>
    <row r="33">
      <c r="A33" s="13" t="inlineStr">
        <is>
          <t>Faulted (F_t)</t>
        </is>
      </c>
      <c r="B33" s="13" t="inlineStr">
        <is>
          <t>Healthy (H_t+1)</t>
        </is>
      </c>
      <c r="C33" s="14">
        <f>1-D32</f>
        <v/>
      </c>
      <c r="D33" s="16" t="n"/>
      <c r="E33" s="6" t="inlineStr">
        <is>
          <t>Self-recovery / clearance rate</t>
        </is>
      </c>
    </row>
    <row r="34">
      <c r="A34" s="13" t="inlineStr">
        <is>
          <t>Healthy (H_t)</t>
        </is>
      </c>
      <c r="B34" s="13" t="inlineStr">
        <is>
          <t>Faulted (F_t+1)</t>
        </is>
      </c>
      <c r="C34" s="14">
        <f>(B10-(D32*B10))/(B6-B10)</f>
        <v/>
      </c>
      <c r="D34" s="16" t="n"/>
      <c r="E34" s="6" t="inlineStr">
        <is>
          <t>New onset daily failure rate</t>
        </is>
      </c>
    </row>
    <row r="35">
      <c r="A35" s="13" t="inlineStr">
        <is>
          <t>Healthy (H_t)</t>
        </is>
      </c>
      <c r="B35" s="13" t="inlineStr">
        <is>
          <t>Healthy (H_t+1)</t>
        </is>
      </c>
      <c r="C35" s="14">
        <f>1-D34</f>
        <v/>
      </c>
      <c r="D35" s="16" t="n"/>
      <c r="E35" s="6" t="inlineStr">
        <is>
          <t>Healthy device retention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20" customWidth="1" min="4" max="4"/>
    <col width="22" customWidth="1" min="5" max="5"/>
    <col width="24" customWidth="1" min="6" max="6"/>
    <col width="22" customWidth="1" min="7" max="7"/>
    <col width="22" customWidth="1" min="8" max="8"/>
    <col width="45" customWidth="1" min="9" max="9"/>
  </cols>
  <sheetData>
    <row r="1">
      <c r="A1" s="1" t="inlineStr">
        <is>
          <t>Sensor-Specific Hazard &amp; Reliability Decomposition</t>
        </is>
      </c>
    </row>
    <row r="2">
      <c r="A2" s="2" t="inlineStr">
        <is>
          <t>Decomposition across 6 onboard container sensors: Battery, GPS, Accelerometer, Door, RSSI, Light</t>
        </is>
      </c>
    </row>
    <row r="3"/>
    <row r="4" ht="28" customHeight="1">
      <c r="A4" s="17" t="inlineStr">
        <is>
          <t>Sensor Name</t>
        </is>
      </c>
      <c r="B4" s="17" t="inlineStr">
        <is>
          <t>Telemetry Rows / Day (Input)</t>
        </is>
      </c>
      <c r="C4" s="17" t="inlineStr">
        <is>
          <t>Unique Faulted Devices / Day (Input)</t>
        </is>
      </c>
      <c r="D4" s="17" t="inlineStr">
        <is>
          <t>Share of Fault Telemetry</t>
        </is>
      </c>
      <c r="E4" s="17" t="inlineStr">
        <is>
          <t>P(Fault | Transmission)</t>
        </is>
      </c>
      <c r="F4" s="17" t="inlineStr">
        <is>
          <t>P(Sensor Fault | Active Device)</t>
        </is>
      </c>
      <c r="G4" s="17" t="inlineStr">
        <is>
          <t>Hazard Rate (Faults / 1,000 Pings)</t>
        </is>
      </c>
      <c r="H4" s="17" t="inlineStr">
        <is>
          <t>Multi-Ping Multiplier (Rows / Device)</t>
        </is>
      </c>
      <c r="I4" s="17" t="inlineStr">
        <is>
          <t>Primary Degradation / Failure Mechanism</t>
        </is>
      </c>
    </row>
    <row r="5">
      <c r="A5" s="18" t="inlineStr">
        <is>
          <t>Battery Voltage</t>
        </is>
      </c>
      <c r="B5" s="19" t="n">
        <v>3200</v>
      </c>
      <c r="C5" s="19" t="n">
        <v>1100</v>
      </c>
      <c r="D5" s="20">
        <f>B5/'Executive Summary &amp; Fleet KPIs'!B8</f>
        <v/>
      </c>
      <c r="E5" s="21">
        <f>B5/'Executive Summary &amp; Fleet KPIs'!B7</f>
        <v/>
      </c>
      <c r="F5" s="22">
        <f>C5/'Executive Summary &amp; Fleet KPIs'!B6</f>
        <v/>
      </c>
      <c r="G5" s="23">
        <f>(B5/'Executive Summary &amp; Fleet KPIs'!B7)*1000</f>
        <v/>
      </c>
      <c r="H5" s="23">
        <f>B5/C5</f>
        <v/>
      </c>
      <c r="I5" s="6" t="inlineStr">
        <is>
          <t>Low solar yield, continuous night drain, aging LiFePO4 cells</t>
        </is>
      </c>
    </row>
    <row r="6">
      <c r="A6" s="18" t="inlineStr">
        <is>
          <t>GPS Module</t>
        </is>
      </c>
      <c r="B6" s="19" t="n">
        <v>2400</v>
      </c>
      <c r="C6" s="19" t="n">
        <v>750</v>
      </c>
      <c r="D6" s="20">
        <f>B6/'Executive Summary &amp; Fleet KPIs'!B8</f>
        <v/>
      </c>
      <c r="E6" s="21">
        <f>B6/'Executive Summary &amp; Fleet KPIs'!B7</f>
        <v/>
      </c>
      <c r="F6" s="22">
        <f>C6/'Executive Summary &amp; Fleet KPIs'!B6</f>
        <v/>
      </c>
      <c r="G6" s="23">
        <f>(B6/'Executive Summary &amp; Fleet KPIs'!B7)*1000</f>
        <v/>
      </c>
      <c r="H6" s="23">
        <f>B6/C6</f>
        <v/>
      </c>
      <c r="I6" s="6" t="inlineStr">
        <is>
          <t>Loss of satellite lock inside container stacks / maritime transit</t>
        </is>
      </c>
    </row>
    <row r="7">
      <c r="A7" s="18" t="inlineStr">
        <is>
          <t>Accelerometer (3-Axis)</t>
        </is>
      </c>
      <c r="B7" s="19" t="n">
        <v>1800</v>
      </c>
      <c r="C7" s="19" t="n">
        <v>520</v>
      </c>
      <c r="D7" s="20">
        <f>B7/'Executive Summary &amp; Fleet KPIs'!B8</f>
        <v/>
      </c>
      <c r="E7" s="21">
        <f>B7/'Executive Summary &amp; Fleet KPIs'!B7</f>
        <v/>
      </c>
      <c r="F7" s="22">
        <f>C7/'Executive Summary &amp; Fleet KPIs'!B6</f>
        <v/>
      </c>
      <c r="G7" s="23">
        <f>(B7/'Executive Summary &amp; Fleet KPIs'!B7)*1000</f>
        <v/>
      </c>
      <c r="H7" s="23">
        <f>B7/C7</f>
        <v/>
      </c>
      <c r="I7" s="6" t="inlineStr">
        <is>
          <t>Rough seas vibration threshold trips, sensor calibration drift</t>
        </is>
      </c>
    </row>
    <row r="8">
      <c r="A8" s="18" t="inlineStr">
        <is>
          <t>Door Open Sensor</t>
        </is>
      </c>
      <c r="B8" s="19" t="n">
        <v>1200</v>
      </c>
      <c r="C8" s="19" t="n">
        <v>380</v>
      </c>
      <c r="D8" s="20">
        <f>B8/'Executive Summary &amp; Fleet KPIs'!B8</f>
        <v/>
      </c>
      <c r="E8" s="21">
        <f>B8/'Executive Summary &amp; Fleet KPIs'!B7</f>
        <v/>
      </c>
      <c r="F8" s="22">
        <f>C8/'Executive Summary &amp; Fleet KPIs'!B6</f>
        <v/>
      </c>
      <c r="G8" s="23">
        <f>(B8/'Executive Summary &amp; Fleet KPIs'!B7)*1000</f>
        <v/>
      </c>
      <c r="H8" s="23">
        <f>B8/C8</f>
        <v/>
      </c>
      <c r="I8" s="6" t="inlineStr">
        <is>
          <t>Mechanical reed switch misalignment, magnetic seal displacement</t>
        </is>
      </c>
    </row>
    <row r="9">
      <c r="A9" s="18" t="inlineStr">
        <is>
          <t>RSSI / Cellular Network</t>
        </is>
      </c>
      <c r="B9" s="19" t="n">
        <v>900</v>
      </c>
      <c r="C9" s="19" t="n">
        <v>310</v>
      </c>
      <c r="D9" s="20">
        <f>B9/'Executive Summary &amp; Fleet KPIs'!B8</f>
        <v/>
      </c>
      <c r="E9" s="21">
        <f>B9/'Executive Summary &amp; Fleet KPIs'!B7</f>
        <v/>
      </c>
      <c r="F9" s="22">
        <f>C9/'Executive Summary &amp; Fleet KPIs'!B6</f>
        <v/>
      </c>
      <c r="G9" s="23">
        <f>(B9/'Executive Summary &amp; Fleet KPIs'!B7)*1000</f>
        <v/>
      </c>
      <c r="H9" s="23">
        <f>B9/C9</f>
        <v/>
      </c>
      <c r="I9" s="6" t="inlineStr">
        <is>
          <t>Base-station handoff drops, deep hull RF attenuation</t>
        </is>
      </c>
    </row>
    <row r="10">
      <c r="A10" s="18" t="inlineStr">
        <is>
          <t>Light Sensor (Optical)</t>
        </is>
      </c>
      <c r="B10" s="19" t="n">
        <v>500</v>
      </c>
      <c r="C10" s="19" t="n">
        <v>180</v>
      </c>
      <c r="D10" s="20">
        <f>B10/'Executive Summary &amp; Fleet KPIs'!B8</f>
        <v/>
      </c>
      <c r="E10" s="21">
        <f>B10/'Executive Summary &amp; Fleet KPIs'!B7</f>
        <v/>
      </c>
      <c r="F10" s="22">
        <f>C10/'Executive Summary &amp; Fleet KPIs'!B6</f>
        <v/>
      </c>
      <c r="G10" s="23">
        <f>(B10/'Executive Summary &amp; Fleet KPIs'!B7)*1000</f>
        <v/>
      </c>
      <c r="H10" s="23">
        <f>B10/C10</f>
        <v/>
      </c>
      <c r="I10" s="6" t="inlineStr">
        <is>
          <t>Dust/dirt lens obstruction, seal leakage false readings</t>
        </is>
      </c>
    </row>
    <row r="11">
      <c r="A11" s="24" t="inlineStr">
        <is>
          <t>Total Telemetry / Fleet Deduplicated</t>
        </is>
      </c>
      <c r="B11" s="25">
        <f>SUM(B5:B10)</f>
        <v/>
      </c>
      <c r="C11" s="25">
        <f>'Executive Summary &amp; Fleet KPIs'!B10</f>
        <v/>
      </c>
      <c r="D11" s="26">
        <f>SUM(D5:D10)</f>
        <v/>
      </c>
      <c r="E11" s="27">
        <f>SUM(E5:E10)</f>
        <v/>
      </c>
      <c r="F11" s="27">
        <f>'Executive Summary &amp; Fleet KPIs'!C19</f>
        <v/>
      </c>
      <c r="G11" s="28">
        <f>SUM(G5:G10)</f>
        <v/>
      </c>
      <c r="H11" s="28">
        <f>B11/C11</f>
        <v/>
      </c>
      <c r="I11" s="29" t="inlineStr">
        <is>
          <t>Note: Sum of sensor unique devices &gt; Net unique due to multi-sensor co-faults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5" customWidth="1" min="3" max="3"/>
    <col width="15" customWidth="1" min="4" max="4"/>
    <col width="16" customWidth="1" min="5" max="5"/>
    <col width="22" customWidth="1" min="6" max="6"/>
    <col width="16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16" customWidth="1" min="13" max="13"/>
    <col width="20" customWidth="1" min="14" max="14"/>
    <col width="18" customWidth="1" min="15" max="15"/>
  </cols>
  <sheetData>
    <row r="1">
      <c r="A1" s="1" t="inlineStr">
        <is>
          <t>Next-Day IoT Device Fault Scoring Engine (30-Day Study Window)</t>
        </is>
      </c>
    </row>
    <row r="2">
      <c r="A2" s="2" t="inlineStr">
        <is>
          <t>Pure Probabilistic Framework: Empirical Bayes (Beta-Binomial Shrinkage) + Markov Transitions + Bayesian Evidence Update</t>
        </is>
      </c>
    </row>
    <row r="3"/>
    <row r="4">
      <c r="A4" s="3" t="inlineStr">
        <is>
          <t>Bayesian Likelihood Ratio Parameters (Evidence Updating)</t>
        </is>
      </c>
    </row>
    <row r="5">
      <c r="A5" s="30" t="inlineStr">
        <is>
          <t>Parameter</t>
        </is>
      </c>
      <c r="B5" s="31" t="inlineStr">
        <is>
          <t>Value</t>
        </is>
      </c>
      <c r="C5" s="30" t="inlineStr">
        <is>
          <t>Operational Meaning</t>
        </is>
      </c>
    </row>
    <row r="6">
      <c r="A6" s="6" t="inlineStr">
        <is>
          <t>P(Low Battery Alert | Fault Tomorrow)</t>
        </is>
      </c>
      <c r="B6" s="32" t="n">
        <v>0.25</v>
      </c>
      <c r="C6" s="6" t="inlineStr">
        <is>
          <t>25% of devices that fail tomorrow show low voltage today</t>
        </is>
      </c>
    </row>
    <row r="7">
      <c r="A7" s="6" t="inlineStr">
        <is>
          <t>P(Low Battery Alert | Healthy Tomorrow)</t>
        </is>
      </c>
      <c r="B7" s="32" t="n">
        <v>0.05</v>
      </c>
      <c r="C7" s="6" t="inlineStr">
        <is>
          <t>Only 5% of healthy devices exhibit low voltage today</t>
        </is>
      </c>
    </row>
    <row r="8">
      <c r="A8" s="6" t="inlineStr">
        <is>
          <t>Battery Likelihood Ratio (LR_batt)</t>
        </is>
      </c>
      <c r="B8" s="33">
        <f>B6/B7</f>
        <v/>
      </c>
      <c r="C8" s="6" t="inlineStr">
        <is>
          <t>Risk multiplier when low battery symptom is active (5.0x)</t>
        </is>
      </c>
    </row>
    <row r="9"/>
    <row r="10">
      <c r="A10" s="3" t="inlineStr">
        <is>
          <t>Device Level 30-Day Scoring &amp; Prediction (Day 31 Risk Ranking)</t>
        </is>
      </c>
    </row>
    <row r="11"/>
    <row r="12" ht="32" customHeight="1">
      <c r="A12" s="17" t="inlineStr">
        <is>
          <t>Device ID</t>
        </is>
      </c>
      <c r="B12" s="17" t="inlineStr">
        <is>
          <t>Asset / Container Type</t>
        </is>
      </c>
      <c r="C12" s="17" t="inlineStr">
        <is>
          <t>Active Days in Window (n_i)</t>
        </is>
      </c>
      <c r="D12" s="17" t="inlineStr">
        <is>
          <t>Fault Days in Window (k_i)</t>
        </is>
      </c>
      <c r="E12" s="17" t="inlineStr">
        <is>
          <t>Raw Fault Rate (k_i / n_i)</t>
        </is>
      </c>
      <c r="F12" s="17" t="inlineStr">
        <is>
          <t>Beta-Binomial Smoothed Prior P(F_i)</t>
        </is>
      </c>
      <c r="G12" s="17" t="inlineStr">
        <is>
          <t>State Today S_t (0=H, 1=F)</t>
        </is>
      </c>
      <c r="H12" s="17" t="inlineStr">
        <is>
          <t>Markov P(F_t+1 | S_t)</t>
        </is>
      </c>
      <c r="I12" s="17" t="inlineStr">
        <is>
          <t>Composite Prior P_prior</t>
        </is>
      </c>
      <c r="J12" s="17" t="inlineStr">
        <is>
          <t>Prior Odds</t>
        </is>
      </c>
      <c r="K12" s="17" t="inlineStr">
        <is>
          <t>Low Batt Today E (0/1)</t>
        </is>
      </c>
      <c r="L12" s="17" t="inlineStr">
        <is>
          <t>Likelihood Ratio Multiplier</t>
        </is>
      </c>
      <c r="M12" s="17" t="inlineStr">
        <is>
          <t>Posterior Odds</t>
        </is>
      </c>
      <c r="N12" s="17" t="inlineStr">
        <is>
          <t>Predicted P(Fault Tomorrow)</t>
        </is>
      </c>
      <c r="O12" s="17" t="inlineStr">
        <is>
          <t>Risk Triage Decile</t>
        </is>
      </c>
    </row>
    <row r="13">
      <c r="A13" s="34" t="inlineStr">
        <is>
          <t>DEV-009821</t>
        </is>
      </c>
      <c r="B13" s="6" t="inlineStr">
        <is>
          <t>Reefer Dry Container</t>
        </is>
      </c>
      <c r="C13" s="19" t="n">
        <v>30</v>
      </c>
      <c r="D13" s="19" t="n">
        <v>18</v>
      </c>
      <c r="E13" s="20">
        <f>D13/C13</f>
        <v/>
      </c>
      <c r="F13" s="21">
        <f>(D13+'Executive Summary &amp; Fleet KPIs'!$C$26)/(C13+'Executive Summary &amp; Fleet KPIs'!$C$26+'Executive Summary &amp; Fleet KPIs'!$C$27)</f>
        <v/>
      </c>
      <c r="G13" s="35" t="n">
        <v>1</v>
      </c>
      <c r="H13" s="20">
        <f>IF(G13=1,'Executive Summary &amp; Fleet KPIs'!$D$32,'Executive Summary &amp; Fleet KPIs'!$D$34)</f>
        <v/>
      </c>
      <c r="I13" s="21">
        <f>SQRT(F13*H13)</f>
        <v/>
      </c>
      <c r="J13" s="36">
        <f>I13/(1-I13)</f>
        <v/>
      </c>
      <c r="K13" s="35" t="n">
        <v>1</v>
      </c>
      <c r="L13" s="23">
        <f>IF(K13=1,$B$8,1.0)</f>
        <v/>
      </c>
      <c r="M13" s="36">
        <f>J13*L13</f>
        <v/>
      </c>
      <c r="N13" s="37">
        <f>M13/(1+M13)</f>
        <v/>
      </c>
      <c r="O13" s="34">
        <f>IF(N13&gt;=0.3,"CRITICAL (P1)",IF(N13&gt;=0.1,"HIGH (P2)",IF(N13&gt;=0.03,"ELEVATED (P3)","NORMAL (P4)"))</f>
        <v/>
      </c>
    </row>
    <row r="14">
      <c r="A14" s="34" t="inlineStr">
        <is>
          <t>DEV-044120</t>
        </is>
      </c>
      <c r="B14" s="6" t="inlineStr">
        <is>
          <t>Standard 40ft Maritime</t>
        </is>
      </c>
      <c r="C14" s="19" t="n">
        <v>30</v>
      </c>
      <c r="D14" s="19" t="n">
        <v>8</v>
      </c>
      <c r="E14" s="20">
        <f>D14/C14</f>
        <v/>
      </c>
      <c r="F14" s="21">
        <f>(D14+'Executive Summary &amp; Fleet KPIs'!$C$26)/(C14+'Executive Summary &amp; Fleet KPIs'!$C$26+'Executive Summary &amp; Fleet KPIs'!$C$27)</f>
        <v/>
      </c>
      <c r="G14" s="35" t="n">
        <v>1</v>
      </c>
      <c r="H14" s="20">
        <f>IF(G14=1,'Executive Summary &amp; Fleet KPIs'!$D$32,'Executive Summary &amp; Fleet KPIs'!$D$34)</f>
        <v/>
      </c>
      <c r="I14" s="21">
        <f>SQRT(F14*H14)</f>
        <v/>
      </c>
      <c r="J14" s="36">
        <f>I14/(1-I14)</f>
        <v/>
      </c>
      <c r="K14" s="35" t="n">
        <v>0</v>
      </c>
      <c r="L14" s="23">
        <f>IF(K14=1,$B$8,1.0)</f>
        <v/>
      </c>
      <c r="M14" s="36">
        <f>J14*L14</f>
        <v/>
      </c>
      <c r="N14" s="37">
        <f>M14/(1+M14)</f>
        <v/>
      </c>
      <c r="O14" s="34">
        <f>IF(N14&gt;=0.3,"CRITICAL (P1)",IF(N14&gt;=0.1,"HIGH (P2)",IF(N14&gt;=0.03,"ELEVATED (P3)","NORMAL (P4)"))</f>
        <v/>
      </c>
    </row>
    <row r="15">
      <c r="A15" s="34" t="inlineStr">
        <is>
          <t>DEV-012893</t>
        </is>
      </c>
      <c r="B15" s="6" t="inlineStr">
        <is>
          <t>Intermodal Dry Box</t>
        </is>
      </c>
      <c r="C15" s="19" t="n">
        <v>28</v>
      </c>
      <c r="D15" s="19" t="n">
        <v>3</v>
      </c>
      <c r="E15" s="20">
        <f>D15/C15</f>
        <v/>
      </c>
      <c r="F15" s="21">
        <f>(D15+'Executive Summary &amp; Fleet KPIs'!$C$26)/(C15+'Executive Summary &amp; Fleet KPIs'!$C$26+'Executive Summary &amp; Fleet KPIs'!$C$27)</f>
        <v/>
      </c>
      <c r="G15" s="35" t="n">
        <v>0</v>
      </c>
      <c r="H15" s="20">
        <f>IF(G15=1,'Executive Summary &amp; Fleet KPIs'!$D$32,'Executive Summary &amp; Fleet KPIs'!$D$34)</f>
        <v/>
      </c>
      <c r="I15" s="21">
        <f>SQRT(F15*H15)</f>
        <v/>
      </c>
      <c r="J15" s="36">
        <f>I15/(1-I15)</f>
        <v/>
      </c>
      <c r="K15" s="35" t="n">
        <v>1</v>
      </c>
      <c r="L15" s="23">
        <f>IF(K15=1,$B$8,1.0)</f>
        <v/>
      </c>
      <c r="M15" s="36">
        <f>J15*L15</f>
        <v/>
      </c>
      <c r="N15" s="37">
        <f>M15/(1+M15)</f>
        <v/>
      </c>
      <c r="O15" s="34">
        <f>IF(N15&gt;=0.3,"CRITICAL (P1)",IF(N15&gt;=0.1,"HIGH (P2)",IF(N15&gt;=0.03,"ELEVATED (P3)","NORMAL (P4)"))</f>
        <v/>
      </c>
    </row>
    <row r="16">
      <c r="A16" s="34" t="inlineStr">
        <is>
          <t>DEV-088192</t>
        </is>
      </c>
      <c r="B16" s="6" t="inlineStr">
        <is>
          <t>Standard 20ft Maritime</t>
        </is>
      </c>
      <c r="C16" s="19" t="n">
        <v>25</v>
      </c>
      <c r="D16" s="19" t="n">
        <v>4</v>
      </c>
      <c r="E16" s="20">
        <f>D16/C16</f>
        <v/>
      </c>
      <c r="F16" s="21">
        <f>(D16+'Executive Summary &amp; Fleet KPIs'!$C$26)/(C16+'Executive Summary &amp; Fleet KPIs'!$C$26+'Executive Summary &amp; Fleet KPIs'!$C$27)</f>
        <v/>
      </c>
      <c r="G16" s="35" t="n">
        <v>1</v>
      </c>
      <c r="H16" s="20">
        <f>IF(G16=1,'Executive Summary &amp; Fleet KPIs'!$D$32,'Executive Summary &amp; Fleet KPIs'!$D$34)</f>
        <v/>
      </c>
      <c r="I16" s="21">
        <f>SQRT(F16*H16)</f>
        <v/>
      </c>
      <c r="J16" s="36">
        <f>I16/(1-I16)</f>
        <v/>
      </c>
      <c r="K16" s="35" t="n">
        <v>1</v>
      </c>
      <c r="L16" s="23">
        <f>IF(K16=1,$B$8,1.0)</f>
        <v/>
      </c>
      <c r="M16" s="36">
        <f>J16*L16</f>
        <v/>
      </c>
      <c r="N16" s="37">
        <f>M16/(1+M16)</f>
        <v/>
      </c>
      <c r="O16" s="34">
        <f>IF(N16&gt;=0.3,"CRITICAL (P1)",IF(N16&gt;=0.1,"HIGH (P2)",IF(N16&gt;=0.03,"ELEVATED (P3)","NORMAL (P4)"))</f>
        <v/>
      </c>
    </row>
    <row r="17">
      <c r="A17" s="34" t="inlineStr">
        <is>
          <t>DEV-033104</t>
        </is>
      </c>
      <c r="B17" s="6" t="inlineStr">
        <is>
          <t>Reefer Dry Container</t>
        </is>
      </c>
      <c r="C17" s="19" t="n">
        <v>30</v>
      </c>
      <c r="D17" s="19" t="n">
        <v>5</v>
      </c>
      <c r="E17" s="20">
        <f>D17/C17</f>
        <v/>
      </c>
      <c r="F17" s="21">
        <f>(D17+'Executive Summary &amp; Fleet KPIs'!$C$26)/(C17+'Executive Summary &amp; Fleet KPIs'!$C$26+'Executive Summary &amp; Fleet KPIs'!$C$27)</f>
        <v/>
      </c>
      <c r="G17" s="35" t="n">
        <v>1</v>
      </c>
      <c r="H17" s="20">
        <f>IF(G17=1,'Executive Summary &amp; Fleet KPIs'!$D$32,'Executive Summary &amp; Fleet KPIs'!$D$34)</f>
        <v/>
      </c>
      <c r="I17" s="21">
        <f>SQRT(F17*H17)</f>
        <v/>
      </c>
      <c r="J17" s="36">
        <f>I17/(1-I17)</f>
        <v/>
      </c>
      <c r="K17" s="35" t="n">
        <v>0</v>
      </c>
      <c r="L17" s="23">
        <f>IF(K17=1,$B$8,1.0)</f>
        <v/>
      </c>
      <c r="M17" s="36">
        <f>J17*L17</f>
        <v/>
      </c>
      <c r="N17" s="37">
        <f>M17/(1+M17)</f>
        <v/>
      </c>
      <c r="O17" s="34">
        <f>IF(N17&gt;=0.3,"CRITICAL (P1)",IF(N17&gt;=0.1,"HIGH (P2)",IF(N17&gt;=0.03,"ELEVATED (P3)","NORMAL (P4)"))</f>
        <v/>
      </c>
    </row>
    <row r="18">
      <c r="A18" s="34" t="inlineStr">
        <is>
          <t>DEV-109238</t>
        </is>
      </c>
      <c r="B18" s="6" t="inlineStr">
        <is>
          <t>Tank Container Asset</t>
        </is>
      </c>
      <c r="C18" s="19" t="n">
        <v>29</v>
      </c>
      <c r="D18" s="19" t="n">
        <v>2</v>
      </c>
      <c r="E18" s="20">
        <f>D18/C18</f>
        <v/>
      </c>
      <c r="F18" s="21">
        <f>(D18+'Executive Summary &amp; Fleet KPIs'!$C$26)/(C18+'Executive Summary &amp; Fleet KPIs'!$C$26+'Executive Summary &amp; Fleet KPIs'!$C$27)</f>
        <v/>
      </c>
      <c r="G18" s="35" t="n">
        <v>0</v>
      </c>
      <c r="H18" s="20">
        <f>IF(G18=1,'Executive Summary &amp; Fleet KPIs'!$D$32,'Executive Summary &amp; Fleet KPIs'!$D$34)</f>
        <v/>
      </c>
      <c r="I18" s="21">
        <f>SQRT(F18*H18)</f>
        <v/>
      </c>
      <c r="J18" s="36">
        <f>I18/(1-I18)</f>
        <v/>
      </c>
      <c r="K18" s="35" t="n">
        <v>1</v>
      </c>
      <c r="L18" s="23">
        <f>IF(K18=1,$B$8,1.0)</f>
        <v/>
      </c>
      <c r="M18" s="36">
        <f>J18*L18</f>
        <v/>
      </c>
      <c r="N18" s="37">
        <f>M18/(1+M18)</f>
        <v/>
      </c>
      <c r="O18" s="34">
        <f>IF(N18&gt;=0.3,"CRITICAL (P1)",IF(N18&gt;=0.1,"HIGH (P2)",IF(N18&gt;=0.03,"ELEVATED (P3)","NORMAL (P4)"))</f>
        <v/>
      </c>
    </row>
    <row r="19">
      <c r="A19" s="34" t="inlineStr">
        <is>
          <t>DEV-056712</t>
        </is>
      </c>
      <c r="B19" s="6" t="inlineStr">
        <is>
          <t>Standard 40ft Maritime</t>
        </is>
      </c>
      <c r="C19" s="19" t="n">
        <v>15</v>
      </c>
      <c r="D19" s="19" t="n">
        <v>2</v>
      </c>
      <c r="E19" s="20">
        <f>D19/C19</f>
        <v/>
      </c>
      <c r="F19" s="21">
        <f>(D19+'Executive Summary &amp; Fleet KPIs'!$C$26)/(C19+'Executive Summary &amp; Fleet KPIs'!$C$26+'Executive Summary &amp; Fleet KPIs'!$C$27)</f>
        <v/>
      </c>
      <c r="G19" s="35" t="n">
        <v>0</v>
      </c>
      <c r="H19" s="20">
        <f>IF(G19=1,'Executive Summary &amp; Fleet KPIs'!$D$32,'Executive Summary &amp; Fleet KPIs'!$D$34)</f>
        <v/>
      </c>
      <c r="I19" s="21">
        <f>SQRT(F19*H19)</f>
        <v/>
      </c>
      <c r="J19" s="36">
        <f>I19/(1-I19)</f>
        <v/>
      </c>
      <c r="K19" s="35" t="n">
        <v>0</v>
      </c>
      <c r="L19" s="23">
        <f>IF(K19=1,$B$8,1.0)</f>
        <v/>
      </c>
      <c r="M19" s="36">
        <f>J19*L19</f>
        <v/>
      </c>
      <c r="N19" s="38">
        <f>M19/(1+M19)</f>
        <v/>
      </c>
      <c r="O19" s="34">
        <f>IF(N19&gt;=0.3,"CRITICAL (P1)",IF(N19&gt;=0.1,"HIGH (P2)",IF(N19&gt;=0.03,"ELEVATED (P3)","NORMAL (P4)"))</f>
        <v/>
      </c>
    </row>
    <row r="20">
      <c r="A20" s="34" t="inlineStr">
        <is>
          <t>DEV-077421</t>
        </is>
      </c>
      <c r="B20" s="6" t="inlineStr">
        <is>
          <t>Standard 20ft Maritime</t>
        </is>
      </c>
      <c r="C20" s="19" t="n">
        <v>30</v>
      </c>
      <c r="D20" s="19" t="n">
        <v>2</v>
      </c>
      <c r="E20" s="20">
        <f>D20/C20</f>
        <v/>
      </c>
      <c r="F20" s="21">
        <f>(D20+'Executive Summary &amp; Fleet KPIs'!$C$26)/(C20+'Executive Summary &amp; Fleet KPIs'!$C$26+'Executive Summary &amp; Fleet KPIs'!$C$27)</f>
        <v/>
      </c>
      <c r="G20" s="35" t="n">
        <v>0</v>
      </c>
      <c r="H20" s="20">
        <f>IF(G20=1,'Executive Summary &amp; Fleet KPIs'!$D$32,'Executive Summary &amp; Fleet KPIs'!$D$34)</f>
        <v/>
      </c>
      <c r="I20" s="21">
        <f>SQRT(F20*H20)</f>
        <v/>
      </c>
      <c r="J20" s="36">
        <f>I20/(1-I20)</f>
        <v/>
      </c>
      <c r="K20" s="35" t="n">
        <v>0</v>
      </c>
      <c r="L20" s="23">
        <f>IF(K20=1,$B$8,1.0)</f>
        <v/>
      </c>
      <c r="M20" s="36">
        <f>J20*L20</f>
        <v/>
      </c>
      <c r="N20" s="38">
        <f>M20/(1+M20)</f>
        <v/>
      </c>
      <c r="O20" s="34">
        <f>IF(N20&gt;=0.3,"CRITICAL (P1)",IF(N20&gt;=0.1,"HIGH (P2)",IF(N20&gt;=0.03,"ELEVATED (P3)","NORMAL (P4)"))</f>
        <v/>
      </c>
    </row>
    <row r="21">
      <c r="A21" s="34" t="inlineStr">
        <is>
          <t>DEV-121890</t>
        </is>
      </c>
      <c r="B21" s="6" t="inlineStr">
        <is>
          <t>Intermodal Dry Box</t>
        </is>
      </c>
      <c r="C21" s="19" t="n">
        <v>30</v>
      </c>
      <c r="D21" s="19" t="n">
        <v>1</v>
      </c>
      <c r="E21" s="20">
        <f>D21/C21</f>
        <v/>
      </c>
      <c r="F21" s="21">
        <f>(D21+'Executive Summary &amp; Fleet KPIs'!$C$26)/(C21+'Executive Summary &amp; Fleet KPIs'!$C$26+'Executive Summary &amp; Fleet KPIs'!$C$27)</f>
        <v/>
      </c>
      <c r="G21" s="35" t="n">
        <v>0</v>
      </c>
      <c r="H21" s="20">
        <f>IF(G21=1,'Executive Summary &amp; Fleet KPIs'!$D$32,'Executive Summary &amp; Fleet KPIs'!$D$34)</f>
        <v/>
      </c>
      <c r="I21" s="21">
        <f>SQRT(F21*H21)</f>
        <v/>
      </c>
      <c r="J21" s="36">
        <f>I21/(1-I21)</f>
        <v/>
      </c>
      <c r="K21" s="35" t="n">
        <v>1</v>
      </c>
      <c r="L21" s="23">
        <f>IF(K21=1,$B$8,1.0)</f>
        <v/>
      </c>
      <c r="M21" s="36">
        <f>J21*L21</f>
        <v/>
      </c>
      <c r="N21" s="37">
        <f>M21/(1+M21)</f>
        <v/>
      </c>
      <c r="O21" s="34">
        <f>IF(N21&gt;=0.3,"CRITICAL (P1)",IF(N21&gt;=0.1,"HIGH (P2)",IF(N21&gt;=0.03,"ELEVATED (P3)","NORMAL (P4)"))</f>
        <v/>
      </c>
    </row>
    <row r="22">
      <c r="A22" s="34" t="inlineStr">
        <is>
          <t>DEV-014523</t>
        </is>
      </c>
      <c r="B22" s="6" t="inlineStr">
        <is>
          <t>Standard 40ft Maritime</t>
        </is>
      </c>
      <c r="C22" s="19" t="n">
        <v>30</v>
      </c>
      <c r="D22" s="19" t="n">
        <v>1</v>
      </c>
      <c r="E22" s="20">
        <f>D22/C22</f>
        <v/>
      </c>
      <c r="F22" s="21">
        <f>(D22+'Executive Summary &amp; Fleet KPIs'!$C$26)/(C22+'Executive Summary &amp; Fleet KPIs'!$C$26+'Executive Summary &amp; Fleet KPIs'!$C$27)</f>
        <v/>
      </c>
      <c r="G22" s="35" t="n">
        <v>0</v>
      </c>
      <c r="H22" s="20">
        <f>IF(G22=1,'Executive Summary &amp; Fleet KPIs'!$D$32,'Executive Summary &amp; Fleet KPIs'!$D$34)</f>
        <v/>
      </c>
      <c r="I22" s="21">
        <f>SQRT(F22*H22)</f>
        <v/>
      </c>
      <c r="J22" s="36">
        <f>I22/(1-I22)</f>
        <v/>
      </c>
      <c r="K22" s="35" t="n">
        <v>0</v>
      </c>
      <c r="L22" s="23">
        <f>IF(K22=1,$B$8,1.0)</f>
        <v/>
      </c>
      <c r="M22" s="36">
        <f>J22*L22</f>
        <v/>
      </c>
      <c r="N22" s="38">
        <f>M22/(1+M22)</f>
        <v/>
      </c>
      <c r="O22" s="34">
        <f>IF(N22&gt;=0.3,"CRITICAL (P1)",IF(N22&gt;=0.1,"HIGH (P2)",IF(N22&gt;=0.03,"ELEVATED (P3)","NORMAL (P4)"))</f>
        <v/>
      </c>
    </row>
    <row r="23">
      <c r="A23" s="34" t="inlineStr">
        <is>
          <t>DEV-092341</t>
        </is>
      </c>
      <c r="B23" s="6" t="inlineStr">
        <is>
          <t>Reefer Dry Container</t>
        </is>
      </c>
      <c r="C23" s="19" t="n">
        <v>30</v>
      </c>
      <c r="D23" s="19" t="n">
        <v>0</v>
      </c>
      <c r="E23" s="20">
        <f>D23/C23</f>
        <v/>
      </c>
      <c r="F23" s="21">
        <f>(D23+'Executive Summary &amp; Fleet KPIs'!$C$26)/(C23+'Executive Summary &amp; Fleet KPIs'!$C$26+'Executive Summary &amp; Fleet KPIs'!$C$27)</f>
        <v/>
      </c>
      <c r="G23" s="35" t="n">
        <v>0</v>
      </c>
      <c r="H23" s="20">
        <f>IF(G23=1,'Executive Summary &amp; Fleet KPIs'!$D$32,'Executive Summary &amp; Fleet KPIs'!$D$34)</f>
        <v/>
      </c>
      <c r="I23" s="21">
        <f>SQRT(F23*H23)</f>
        <v/>
      </c>
      <c r="J23" s="36">
        <f>I23/(1-I23)</f>
        <v/>
      </c>
      <c r="K23" s="35" t="n">
        <v>1</v>
      </c>
      <c r="L23" s="23">
        <f>IF(K23=1,$B$8,1.0)</f>
        <v/>
      </c>
      <c r="M23" s="36">
        <f>J23*L23</f>
        <v/>
      </c>
      <c r="N23" s="37">
        <f>M23/(1+M23)</f>
        <v/>
      </c>
      <c r="O23" s="34">
        <f>IF(N23&gt;=0.3,"CRITICAL (P1)",IF(N23&gt;=0.1,"HIGH (P2)",IF(N23&gt;=0.03,"ELEVATED (P3)","NORMAL (P4)"))</f>
        <v/>
      </c>
    </row>
    <row r="24">
      <c r="A24" s="34" t="inlineStr">
        <is>
          <t>DEV-183021</t>
        </is>
      </c>
      <c r="B24" s="6" t="inlineStr">
        <is>
          <t>Standard 40ft Maritime</t>
        </is>
      </c>
      <c r="C24" s="19" t="n">
        <v>30</v>
      </c>
      <c r="D24" s="19" t="n">
        <v>0</v>
      </c>
      <c r="E24" s="20">
        <f>D24/C24</f>
        <v/>
      </c>
      <c r="F24" s="21">
        <f>(D24+'Executive Summary &amp; Fleet KPIs'!$C$26)/(C24+'Executive Summary &amp; Fleet KPIs'!$C$26+'Executive Summary &amp; Fleet KPIs'!$C$27)</f>
        <v/>
      </c>
      <c r="G24" s="35" t="n">
        <v>0</v>
      </c>
      <c r="H24" s="20">
        <f>IF(G24=1,'Executive Summary &amp; Fleet KPIs'!$D$32,'Executive Summary &amp; Fleet KPIs'!$D$34)</f>
        <v/>
      </c>
      <c r="I24" s="21">
        <f>SQRT(F24*H24)</f>
        <v/>
      </c>
      <c r="J24" s="36">
        <f>I24/(1-I24)</f>
        <v/>
      </c>
      <c r="K24" s="35" t="n">
        <v>0</v>
      </c>
      <c r="L24" s="23">
        <f>IF(K24=1,$B$8,1.0)</f>
        <v/>
      </c>
      <c r="M24" s="36">
        <f>J24*L24</f>
        <v/>
      </c>
      <c r="N24" s="38">
        <f>M24/(1+M24)</f>
        <v/>
      </c>
      <c r="O24" s="34">
        <f>IF(N24&gt;=0.3,"CRITICAL (P1)",IF(N24&gt;=0.1,"HIGH (P2)",IF(N24&gt;=0.03,"ELEVATED (P3)","NORMAL (P4)"))</f>
        <v/>
      </c>
    </row>
    <row r="25">
      <c r="A25" s="34" t="inlineStr">
        <is>
          <t>DEV-183022</t>
        </is>
      </c>
      <c r="B25" s="6" t="inlineStr">
        <is>
          <t>Standard 20ft Maritime</t>
        </is>
      </c>
      <c r="C25" s="19" t="n">
        <v>30</v>
      </c>
      <c r="D25" s="19" t="n">
        <v>0</v>
      </c>
      <c r="E25" s="20">
        <f>D25/C25</f>
        <v/>
      </c>
      <c r="F25" s="21">
        <f>(D25+'Executive Summary &amp; Fleet KPIs'!$C$26)/(C25+'Executive Summary &amp; Fleet KPIs'!$C$26+'Executive Summary &amp; Fleet KPIs'!$C$27)</f>
        <v/>
      </c>
      <c r="G25" s="35" t="n">
        <v>0</v>
      </c>
      <c r="H25" s="20">
        <f>IF(G25=1,'Executive Summary &amp; Fleet KPIs'!$D$32,'Executive Summary &amp; Fleet KPIs'!$D$34)</f>
        <v/>
      </c>
      <c r="I25" s="21">
        <f>SQRT(F25*H25)</f>
        <v/>
      </c>
      <c r="J25" s="36">
        <f>I25/(1-I25)</f>
        <v/>
      </c>
      <c r="K25" s="35" t="n">
        <v>0</v>
      </c>
      <c r="L25" s="23">
        <f>IF(K25=1,$B$8,1.0)</f>
        <v/>
      </c>
      <c r="M25" s="36">
        <f>J25*L25</f>
        <v/>
      </c>
      <c r="N25" s="38">
        <f>M25/(1+M25)</f>
        <v/>
      </c>
      <c r="O25" s="34">
        <f>IF(N25&gt;=0.3,"CRITICAL (P1)",IF(N25&gt;=0.1,"HIGH (P2)",IF(N25&gt;=0.03,"ELEVATED (P3)","NORMAL (P4)"))</f>
        <v/>
      </c>
    </row>
    <row r="26">
      <c r="A26" s="34" t="inlineStr">
        <is>
          <t>DEV-183023</t>
        </is>
      </c>
      <c r="B26" s="6" t="inlineStr">
        <is>
          <t>Intermodal Dry Box</t>
        </is>
      </c>
      <c r="C26" s="19" t="n">
        <v>29</v>
      </c>
      <c r="D26" s="19" t="n">
        <v>0</v>
      </c>
      <c r="E26" s="20">
        <f>D26/C26</f>
        <v/>
      </c>
      <c r="F26" s="21">
        <f>(D26+'Executive Summary &amp; Fleet KPIs'!$C$26)/(C26+'Executive Summary &amp; Fleet KPIs'!$C$26+'Executive Summary &amp; Fleet KPIs'!$C$27)</f>
        <v/>
      </c>
      <c r="G26" s="35" t="n">
        <v>0</v>
      </c>
      <c r="H26" s="20">
        <f>IF(G26=1,'Executive Summary &amp; Fleet KPIs'!$D$32,'Executive Summary &amp; Fleet KPIs'!$D$34)</f>
        <v/>
      </c>
      <c r="I26" s="21">
        <f>SQRT(F26*H26)</f>
        <v/>
      </c>
      <c r="J26" s="36">
        <f>I26/(1-I26)</f>
        <v/>
      </c>
      <c r="K26" s="35" t="n">
        <v>0</v>
      </c>
      <c r="L26" s="23">
        <f>IF(K26=1,$B$8,1.0)</f>
        <v/>
      </c>
      <c r="M26" s="36">
        <f>J26*L26</f>
        <v/>
      </c>
      <c r="N26" s="38">
        <f>M26/(1+M26)</f>
        <v/>
      </c>
      <c r="O26" s="34">
        <f>IF(N26&gt;=0.3,"CRITICAL (P1)",IF(N26&gt;=0.1,"HIGH (P2)",IF(N26&gt;=0.03,"ELEVATED (P3)","NORMAL (P4)"))</f>
        <v/>
      </c>
    </row>
    <row r="27">
      <c r="A27" s="34" t="inlineStr">
        <is>
          <t>DEV-183024</t>
        </is>
      </c>
      <c r="B27" s="6" t="inlineStr">
        <is>
          <t>Standard 40ft Maritime</t>
        </is>
      </c>
      <c r="C27" s="19" t="n">
        <v>28</v>
      </c>
      <c r="D27" s="19" t="n">
        <v>0</v>
      </c>
      <c r="E27" s="20">
        <f>D27/C27</f>
        <v/>
      </c>
      <c r="F27" s="21">
        <f>(D27+'Executive Summary &amp; Fleet KPIs'!$C$26)/(C27+'Executive Summary &amp; Fleet KPIs'!$C$26+'Executive Summary &amp; Fleet KPIs'!$C$27)</f>
        <v/>
      </c>
      <c r="G27" s="35" t="n">
        <v>0</v>
      </c>
      <c r="H27" s="20">
        <f>IF(G27=1,'Executive Summary &amp; Fleet KPIs'!$D$32,'Executive Summary &amp; Fleet KPIs'!$D$34)</f>
        <v/>
      </c>
      <c r="I27" s="21">
        <f>SQRT(F27*H27)</f>
        <v/>
      </c>
      <c r="J27" s="36">
        <f>I27/(1-I27)</f>
        <v/>
      </c>
      <c r="K27" s="35" t="n">
        <v>0</v>
      </c>
      <c r="L27" s="23">
        <f>IF(K27=1,$B$8,1.0)</f>
        <v/>
      </c>
      <c r="M27" s="36">
        <f>J27*L27</f>
        <v/>
      </c>
      <c r="N27" s="38">
        <f>M27/(1+M27)</f>
        <v/>
      </c>
      <c r="O27" s="34">
        <f>IF(N27&gt;=0.3,"CRITICAL (P1)",IF(N27&gt;=0.1,"HIGH (P2)",IF(N27&gt;=0.03,"ELEVATED (P3)","NORMAL (P4)"))</f>
        <v/>
      </c>
    </row>
    <row r="28">
      <c r="A28" s="34" t="inlineStr">
        <is>
          <t>DEV-183025</t>
        </is>
      </c>
      <c r="B28" s="6" t="inlineStr">
        <is>
          <t>Standard 20ft Maritime</t>
        </is>
      </c>
      <c r="C28" s="19" t="n">
        <v>30</v>
      </c>
      <c r="D28" s="19" t="n">
        <v>0</v>
      </c>
      <c r="E28" s="20">
        <f>D28/C28</f>
        <v/>
      </c>
      <c r="F28" s="21">
        <f>(D28+'Executive Summary &amp; Fleet KPIs'!$C$26)/(C28+'Executive Summary &amp; Fleet KPIs'!$C$26+'Executive Summary &amp; Fleet KPIs'!$C$27)</f>
        <v/>
      </c>
      <c r="G28" s="35" t="n">
        <v>0</v>
      </c>
      <c r="H28" s="20">
        <f>IF(G28=1,'Executive Summary &amp; Fleet KPIs'!$D$32,'Executive Summary &amp; Fleet KPIs'!$D$34)</f>
        <v/>
      </c>
      <c r="I28" s="21">
        <f>SQRT(F28*H28)</f>
        <v/>
      </c>
      <c r="J28" s="36">
        <f>I28/(1-I28)</f>
        <v/>
      </c>
      <c r="K28" s="35" t="n">
        <v>0</v>
      </c>
      <c r="L28" s="23">
        <f>IF(K28=1,$B$8,1.0)</f>
        <v/>
      </c>
      <c r="M28" s="36">
        <f>J28*L28</f>
        <v/>
      </c>
      <c r="N28" s="38">
        <f>M28/(1+M28)</f>
        <v/>
      </c>
      <c r="O28" s="34">
        <f>IF(N28&gt;=0.3,"CRITICAL (P1)",IF(N28&gt;=0.1,"HIGH (P2)",IF(N28&gt;=0.03,"ELEVATED (P3)","NORMAL (P4)"))</f>
        <v/>
      </c>
    </row>
    <row r="29">
      <c r="A29" s="34" t="inlineStr">
        <is>
          <t>DEV-183026</t>
        </is>
      </c>
      <c r="B29" s="6" t="inlineStr">
        <is>
          <t>Tank Container Asset</t>
        </is>
      </c>
      <c r="C29" s="19" t="n">
        <v>30</v>
      </c>
      <c r="D29" s="19" t="n">
        <v>0</v>
      </c>
      <c r="E29" s="20">
        <f>D29/C29</f>
        <v/>
      </c>
      <c r="F29" s="21">
        <f>(D29+'Executive Summary &amp; Fleet KPIs'!$C$26)/(C29+'Executive Summary &amp; Fleet KPIs'!$C$26+'Executive Summary &amp; Fleet KPIs'!$C$27)</f>
        <v/>
      </c>
      <c r="G29" s="35" t="n">
        <v>0</v>
      </c>
      <c r="H29" s="20">
        <f>IF(G29=1,'Executive Summary &amp; Fleet KPIs'!$D$32,'Executive Summary &amp; Fleet KPIs'!$D$34)</f>
        <v/>
      </c>
      <c r="I29" s="21">
        <f>SQRT(F29*H29)</f>
        <v/>
      </c>
      <c r="J29" s="36">
        <f>I29/(1-I29)</f>
        <v/>
      </c>
      <c r="K29" s="35" t="n">
        <v>0</v>
      </c>
      <c r="L29" s="23">
        <f>IF(K29=1,$B$8,1.0)</f>
        <v/>
      </c>
      <c r="M29" s="36">
        <f>J29*L29</f>
        <v/>
      </c>
      <c r="N29" s="38">
        <f>M29/(1+M29)</f>
        <v/>
      </c>
      <c r="O29" s="34">
        <f>IF(N29&gt;=0.3,"CRITICAL (P1)",IF(N29&gt;=0.1,"HIGH (P2)",IF(N29&gt;=0.03,"ELEVATED (P3)","NORMAL (P4)"))</f>
        <v/>
      </c>
    </row>
    <row r="30">
      <c r="A30" s="34" t="inlineStr">
        <is>
          <t>DEV-183027</t>
        </is>
      </c>
      <c r="B30" s="6" t="inlineStr">
        <is>
          <t>Standard 40ft Maritime</t>
        </is>
      </c>
      <c r="C30" s="19" t="n">
        <v>27</v>
      </c>
      <c r="D30" s="19" t="n">
        <v>0</v>
      </c>
      <c r="E30" s="20">
        <f>D30/C30</f>
        <v/>
      </c>
      <c r="F30" s="21">
        <f>(D30+'Executive Summary &amp; Fleet KPIs'!$C$26)/(C30+'Executive Summary &amp; Fleet KPIs'!$C$26+'Executive Summary &amp; Fleet KPIs'!$C$27)</f>
        <v/>
      </c>
      <c r="G30" s="35" t="n">
        <v>0</v>
      </c>
      <c r="H30" s="20">
        <f>IF(G30=1,'Executive Summary &amp; Fleet KPIs'!$D$32,'Executive Summary &amp; Fleet KPIs'!$D$34)</f>
        <v/>
      </c>
      <c r="I30" s="21">
        <f>SQRT(F30*H30)</f>
        <v/>
      </c>
      <c r="J30" s="36">
        <f>I30/(1-I30)</f>
        <v/>
      </c>
      <c r="K30" s="35" t="n">
        <v>0</v>
      </c>
      <c r="L30" s="23">
        <f>IF(K30=1,$B$8,1.0)</f>
        <v/>
      </c>
      <c r="M30" s="36">
        <f>J30*L30</f>
        <v/>
      </c>
      <c r="N30" s="38">
        <f>M30/(1+M30)</f>
        <v/>
      </c>
      <c r="O30" s="34">
        <f>IF(N30&gt;=0.3,"CRITICAL (P1)",IF(N30&gt;=0.1,"HIGH (P2)",IF(N30&gt;=0.03,"ELEVATED (P3)","NORMAL (P4)"))</f>
        <v/>
      </c>
    </row>
    <row r="31">
      <c r="A31" s="34" t="inlineStr">
        <is>
          <t>DEV-183028</t>
        </is>
      </c>
      <c r="B31" s="6" t="inlineStr">
        <is>
          <t>Reefer Dry Container</t>
        </is>
      </c>
      <c r="C31" s="19" t="n">
        <v>30</v>
      </c>
      <c r="D31" s="19" t="n">
        <v>0</v>
      </c>
      <c r="E31" s="20">
        <f>D31/C31</f>
        <v/>
      </c>
      <c r="F31" s="21">
        <f>(D31+'Executive Summary &amp; Fleet KPIs'!$C$26)/(C31+'Executive Summary &amp; Fleet KPIs'!$C$26+'Executive Summary &amp; Fleet KPIs'!$C$27)</f>
        <v/>
      </c>
      <c r="G31" s="35" t="n">
        <v>0</v>
      </c>
      <c r="H31" s="20">
        <f>IF(G31=1,'Executive Summary &amp; Fleet KPIs'!$D$32,'Executive Summary &amp; Fleet KPIs'!$D$34)</f>
        <v/>
      </c>
      <c r="I31" s="21">
        <f>SQRT(F31*H31)</f>
        <v/>
      </c>
      <c r="J31" s="36">
        <f>I31/(1-I31)</f>
        <v/>
      </c>
      <c r="K31" s="35" t="n">
        <v>0</v>
      </c>
      <c r="L31" s="23">
        <f>IF(K31=1,$B$8,1.0)</f>
        <v/>
      </c>
      <c r="M31" s="36">
        <f>J31*L31</f>
        <v/>
      </c>
      <c r="N31" s="38">
        <f>M31/(1+M31)</f>
        <v/>
      </c>
      <c r="O31" s="34">
        <f>IF(N31&gt;=0.3,"CRITICAL (P1)",IF(N31&gt;=0.1,"HIGH (P2)",IF(N31&gt;=0.03,"ELEVATED (P3)","NORMAL (P4)"))</f>
        <v/>
      </c>
    </row>
    <row r="32">
      <c r="A32" s="34" t="inlineStr">
        <is>
          <t>DEV-183029</t>
        </is>
      </c>
      <c r="B32" s="6" t="inlineStr">
        <is>
          <t>Intermodal Dry Box</t>
        </is>
      </c>
      <c r="C32" s="19" t="n">
        <v>30</v>
      </c>
      <c r="D32" s="19" t="n">
        <v>0</v>
      </c>
      <c r="E32" s="20">
        <f>D32/C32</f>
        <v/>
      </c>
      <c r="F32" s="21">
        <f>(D32+'Executive Summary &amp; Fleet KPIs'!$C$26)/(C32+'Executive Summary &amp; Fleet KPIs'!$C$26+'Executive Summary &amp; Fleet KPIs'!$C$27)</f>
        <v/>
      </c>
      <c r="G32" s="35" t="n">
        <v>0</v>
      </c>
      <c r="H32" s="20">
        <f>IF(G32=1,'Executive Summary &amp; Fleet KPIs'!$D$32,'Executive Summary &amp; Fleet KPIs'!$D$34)</f>
        <v/>
      </c>
      <c r="I32" s="21">
        <f>SQRT(F32*H32)</f>
        <v/>
      </c>
      <c r="J32" s="36">
        <f>I32/(1-I32)</f>
        <v/>
      </c>
      <c r="K32" s="35" t="n">
        <v>0</v>
      </c>
      <c r="L32" s="23">
        <f>IF(K32=1,$B$8,1.0)</f>
        <v/>
      </c>
      <c r="M32" s="36">
        <f>J32*L32</f>
        <v/>
      </c>
      <c r="N32" s="38">
        <f>M32/(1+M32)</f>
        <v/>
      </c>
      <c r="O32" s="34">
        <f>IF(N32&gt;=0.3,"CRITICAL (P1)",IF(N32&gt;=0.1,"HIGH (P2)",IF(N32&gt;=0.03,"ELEVATED (P3)","NORMAL (P4)"))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5" customWidth="1" min="3" max="3"/>
    <col width="35" customWidth="1" min="4" max="4"/>
    <col width="48" customWidth="1" min="5" max="5"/>
  </cols>
  <sheetData>
    <row r="1">
      <c r="A1" s="1" t="inlineStr">
        <is>
          <t>Mathematical Foundations, Formulas &amp; Operational Guide</t>
        </is>
      </c>
    </row>
    <row r="2">
      <c r="A2" s="2" t="inlineStr">
        <is>
          <t>Technical specifications for the probability models used in this workbook</t>
        </is>
      </c>
    </row>
    <row r="3"/>
    <row r="4" ht="25" customHeight="1">
      <c r="A4" s="5" t="inlineStr">
        <is>
          <t>Section</t>
        </is>
      </c>
      <c r="B4" s="5" t="inlineStr">
        <is>
          <t>Concept / Model</t>
        </is>
      </c>
      <c r="C4" s="5" t="inlineStr">
        <is>
          <t>Exact Mathematical Formula</t>
        </is>
      </c>
      <c r="D4" s="5" t="inlineStr">
        <is>
          <t>Excel Implementation</t>
        </is>
      </c>
      <c r="E4" s="5" t="inlineStr">
        <is>
          <t>Business Application</t>
        </is>
      </c>
    </row>
    <row r="5">
      <c r="A5" s="39" t="inlineStr">
        <is>
          <t>1. Fleet Daily Failure Rate</t>
        </is>
      </c>
      <c r="B5" s="40" t="inlineStr">
        <is>
          <t>Daily Device Failure Probability</t>
        </is>
      </c>
      <c r="C5" s="40" t="inlineStr">
        <is>
          <t>P(Fault | Active) = |D_fault| / N_active</t>
        </is>
      </c>
      <c r="D5" s="41">
        <f>B10/B6</f>
        <v/>
      </c>
      <c r="E5" s="40" t="inlineStr">
        <is>
          <t>Tracks daily fleet health and required spare units</t>
        </is>
      </c>
    </row>
    <row r="6">
      <c r="A6" s="39" t="inlineStr">
        <is>
          <t>2. Telemetry Ingestion</t>
        </is>
      </c>
      <c r="B6" s="40" t="inlineStr">
        <is>
          <t>Transmission Failure Probability</t>
        </is>
      </c>
      <c r="C6" s="40" t="inlineStr">
        <is>
          <t>P(Fault | Ping) = N_fault_rows / N_total_rows</t>
        </is>
      </c>
      <c r="D6" s="41">
        <f>B8/B7</f>
        <v/>
      </c>
      <c r="E6" s="40" t="inlineStr">
        <is>
          <t>Sizes streaming ingestion pipes &amp; queue alarm thresholds</t>
        </is>
      </c>
    </row>
    <row r="7">
      <c r="A7" s="39" t="inlineStr">
        <is>
          <t>3. Noise Filtering</t>
        </is>
      </c>
      <c r="B7" s="40" t="inlineStr">
        <is>
          <t>Alert Suppression Rule</t>
        </is>
      </c>
      <c r="C7" s="40" t="inlineStr">
        <is>
          <t>Flagged IF (Faults &gt;= k) AND (Faults / Total_Pings &gt;= 50%)</t>
        </is>
      </c>
      <c r="D7" s="41" t="inlineStr">
        <is>
          <t>Window logic (k&gt;=3)</t>
        </is>
      </c>
      <c r="E7" s="40" t="inlineStr">
        <is>
          <t>Filters isolated sensor blips from real hardware failures</t>
        </is>
      </c>
    </row>
    <row r="8">
      <c r="A8" s="39" t="inlineStr">
        <is>
          <t>4. Empirical Bayes</t>
        </is>
      </c>
      <c r="B8" s="40" t="inlineStr">
        <is>
          <t>Beta-Binomial Shrinkage Prior</t>
        </is>
      </c>
      <c r="C8" s="40" t="inlineStr">
        <is>
          <t>P(F_i) = (k_i + α) / (n_i + α + β)</t>
        </is>
      </c>
      <c r="D8" s="41">
        <f>(k_i + α) / (n_i + α + β)</f>
        <v/>
      </c>
      <c r="E8" s="40" t="inlineStr">
        <is>
          <t>Prevents overfitting on devices with few reporting days</t>
        </is>
      </c>
    </row>
    <row r="9">
      <c r="A9" s="39" t="inlineStr">
        <is>
          <t>5. Recency / Persistence</t>
        </is>
      </c>
      <c r="B9" s="40" t="inlineStr">
        <is>
          <t>1st Order Markov Chain Transition</t>
        </is>
      </c>
      <c r="C9" s="40" t="inlineStr">
        <is>
          <t>P(F_t+1 | S_t) = Transitions(S_t -&gt; F) / Total(S_t)</t>
        </is>
      </c>
      <c r="D9" s="41">
        <f>IF(S_t=1, P(F|F), P(F|H))</f>
        <v/>
      </c>
      <c r="E9" s="40" t="inlineStr">
        <is>
          <t>Accounts for strong temporal autocorrelation in IoT sensors</t>
        </is>
      </c>
    </row>
    <row r="10">
      <c r="A10" s="39" t="inlineStr">
        <is>
          <t>6. Bayes' Rule</t>
        </is>
      </c>
      <c r="B10" s="40" t="inlineStr">
        <is>
          <t>Odds Formulation with Likelihood Ratio</t>
        </is>
      </c>
      <c r="C10" s="40" t="inlineStr">
        <is>
          <t>Posterior_Odds = Prior_Odds * LR_battery</t>
        </is>
      </c>
      <c r="D10" s="41">
        <f>Prior_Odds * LR_batt</f>
        <v/>
      </c>
      <c r="E10" s="40" t="inlineStr">
        <is>
          <t>Updates risk dynamically based on pre-failure symptoms</t>
        </is>
      </c>
    </row>
    <row r="11">
      <c r="A11" s="39" t="inlineStr">
        <is>
          <t>7. Posterior Probability</t>
        </is>
      </c>
      <c r="B11" s="40" t="inlineStr">
        <is>
          <t>Inverse Odds Mapping</t>
        </is>
      </c>
      <c r="C11" s="40" t="inlineStr">
        <is>
          <t>P = Odds / (1 + Odds)</t>
        </is>
      </c>
      <c r="D11" s="41">
        <f>Odds / (1 + Odds)</f>
        <v/>
      </c>
      <c r="E11" s="40" t="inlineStr">
        <is>
          <t>Converts odds back to an intuitive 0-100% risk probability</t>
        </is>
      </c>
    </row>
    <row r="12"/>
    <row r="13"/>
    <row r="14">
      <c r="A14" s="3" t="inlineStr">
        <is>
          <t>How to Use This Dynamic Workbook with Your Actual Data:</t>
        </is>
      </c>
    </row>
    <row r="15">
      <c r="A15" s="42" t="inlineStr">
        <is>
          <t>1. Yellow Cells (Light Yellow Fill): These are your input parameters. Replace the assumed numbers with your actual daily totals.</t>
        </is>
      </c>
    </row>
    <row r="16">
      <c r="A16" s="42" t="inlineStr">
        <is>
          <t>2. Tab 1 ('Executive Summary &amp; Fleet KPIs'): Enter your actual Active Devices, Telemetry Rows, Fault Rows, and Unique Devices in B5:B14.</t>
        </is>
      </c>
    </row>
    <row r="17">
      <c r="A17" s="42" t="inlineStr">
        <is>
          <t>3. Tab 2 ('Sensor Hazard Analysis'): Enter your actual sensor-level fault rows and unique device counts in columns B and C (rows 5 to 10).</t>
        </is>
      </c>
    </row>
    <row r="18">
      <c r="A18" s="42" t="inlineStr">
        <is>
          <t>4. Tab 3 ('Next-Day Device Model'): Paste your actual device IDs, active days (n_i), fault days (k_i), today's state (0/1), and low battery flag (0/1).</t>
        </is>
      </c>
    </row>
    <row r="19">
      <c r="A19" s="42" t="inlineStr">
        <is>
          <t>5. All downstream probabilities, Bayesian priors, Likelihood Ratios, and Day-31 risk triage tiers will recalculate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2026-09-27T16:31:47Z</dcterms:created>
  <dcterms:modified xmlns:dcterms="http://purl.org/dc/terms/" xmlns:xsi="http://www.w3.org/2001/XMLSchema-instance" xsi:type="dcterms:W3CDTF">2026-09-27T16:31:47Z</dcterms:modified>
</cp:coreProperties>
</file>